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esktop\Jobaaj Learning\Excel\"/>
    </mc:Choice>
  </mc:AlternateContent>
  <xr:revisionPtr revIDLastSave="0" documentId="13_ncr:1_{006F2034-8599-4808-B114-EB9AC3F3741C}" xr6:coauthVersionLast="36" xr6:coauthVersionMax="36" xr10:uidLastSave="{00000000-0000-0000-0000-000000000000}"/>
  <bookViews>
    <workbookView xWindow="0" yWindow="0" windowWidth="28800" windowHeight="12105" tabRatio="500" activeTab="3" xr2:uid="{00000000-000D-0000-FFFF-FFFF00000000}"/>
  </bookViews>
  <sheets>
    <sheet name="1.1 SUM-MAX-MIN-SMALL-LARGE" sheetId="1" r:id="rId1"/>
    <sheet name="1.2 Transpose" sheetId="2" r:id="rId2"/>
    <sheet name="1.3 COUNT-COUNTA-COUNTBLANK" sheetId="3" r:id="rId3"/>
    <sheet name="1.4 Status Bar" sheetId="4" r:id="rId4"/>
    <sheet name="1.5 Growth-YoY-POWER" sheetId="5" r:id="rId5"/>
    <sheet name="2.1" sheetId="6" state="hidden" r:id="rId6"/>
  </sheets>
  <definedNames>
    <definedName name="MonthlySales_Dyn">'1.2 Transpose'!$B$6:INDEX('1.2 Transpose'!$B$6:$B$1000,COUNT('1.2 Transpose'!$B$6:$B$1000))</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B10" i="5" l="1"/>
  <c r="C8" i="5"/>
  <c r="C7" i="5"/>
  <c r="B11" i="5" s="1"/>
  <c r="C6" i="5"/>
  <c r="B23" i="4"/>
  <c r="B22" i="4"/>
  <c r="B21" i="4"/>
  <c r="B20" i="4"/>
  <c r="B19" i="4"/>
  <c r="B23" i="3"/>
  <c r="B22" i="3"/>
  <c r="B21" i="3"/>
  <c r="A26" i="2" a="1"/>
  <c r="H26" i="2" s="1"/>
  <c r="A25" i="2" a="1"/>
  <c r="I25" i="2" s="1"/>
  <c r="B23" i="1"/>
  <c r="B22" i="1"/>
  <c r="C22" i="1" s="1"/>
  <c r="B21" i="1"/>
  <c r="C21" i="1" s="1"/>
  <c r="B20" i="1"/>
  <c r="C20" i="1" s="1"/>
  <c r="B19" i="1"/>
  <c r="C19" i="1" s="1"/>
  <c r="B18" i="1"/>
  <c r="G26" i="2" l="1"/>
  <c r="D25" i="2"/>
  <c r="J25" i="2"/>
  <c r="C26" i="2"/>
  <c r="I26" i="2"/>
  <c r="E25" i="2"/>
  <c r="K25" i="2"/>
  <c r="D26" i="2"/>
  <c r="J26" i="2"/>
  <c r="A25" i="2"/>
  <c r="F25" i="2"/>
  <c r="L25" i="2"/>
  <c r="E26" i="2"/>
  <c r="K26" i="2"/>
  <c r="G25" i="2"/>
  <c r="A26" i="2"/>
  <c r="A29" i="2" s="1"/>
  <c r="F26" i="2"/>
  <c r="L26" i="2"/>
  <c r="B25" i="2"/>
  <c r="H25" i="2"/>
  <c r="C25" i="2"/>
  <c r="B26" i="2"/>
  <c r="L39" i="2"/>
  <c r="E39" i="2"/>
  <c r="F39" i="2"/>
  <c r="D39" i="2"/>
  <c r="B39" i="2"/>
  <c r="I39" i="2"/>
  <c r="G39" i="2"/>
  <c r="K39" i="2"/>
  <c r="H39" i="2"/>
  <c r="A39" i="2"/>
  <c r="J39" i="2"/>
  <c r="C39" i="2"/>
  <c r="A39" i="2" a="1"/>
</calcChain>
</file>

<file path=xl/sharedStrings.xml><?xml version="1.0" encoding="utf-8"?>
<sst xmlns="http://schemas.openxmlformats.org/spreadsheetml/2006/main" count="109" uniqueCount="69">
  <si>
    <t>Basic Arithmetic Operations — SUM, MAX, MIN, SMALL, LARGE &amp; MEDIAN</t>
  </si>
  <si>
    <t>Data source: Superstore "Orders" sheet, Sales aggregated by month for year 2017 (SUMIFS on Order Date).</t>
  </si>
  <si>
    <t>Month</t>
  </si>
  <si>
    <t>January</t>
  </si>
  <si>
    <t>February</t>
  </si>
  <si>
    <t>March</t>
  </si>
  <si>
    <t>April</t>
  </si>
  <si>
    <t>May</t>
  </si>
  <si>
    <t>June</t>
  </si>
  <si>
    <t>July</t>
  </si>
  <si>
    <t>August</t>
  </si>
  <si>
    <t>September</t>
  </si>
  <si>
    <t>October</t>
  </si>
  <si>
    <t>November</t>
  </si>
  <si>
    <t>December</t>
  </si>
  <si>
    <t>Task 1: Total sales (SUM)</t>
  </si>
  <si>
    <t>Task 2: Highest sales month (MAX)</t>
  </si>
  <si>
    <t>Task 3: Lowest sales month (MIN)</t>
  </si>
  <si>
    <t>Task 4: 2nd lowest sales month (SMALL)</t>
  </si>
  <si>
    <t>Task 5a: 3rd highest sales month (LARGE)</t>
  </si>
  <si>
    <t>Task 5b: Median sales (MEDIAN)</t>
  </si>
  <si>
    <t>Transpose vs TRANSPOSE Formula</t>
  </si>
  <si>
    <t>Same 2017 monthly sales data as sheet 1.1, used here to compare manual transposing with the TRANSPOSE function.</t>
  </si>
  <si>
    <t>Original table (Month as rows)</t>
  </si>
  <si>
    <t>Task 1: Manually transposed (typed by hand)</t>
  </si>
  <si>
    <t>Task 2: Using the TRANSPOSE function</t>
  </si>
  <si>
    <t>Task 3: Comparison check (manual = TRANSPOSE?)</t>
  </si>
  <si>
    <t>Task 4 — Why TRANSPOSE beats manual transposing: it is a live formula, so if any value in the original table changes, the transposed copy updates automatically; manual transposing requires re-typing or re-pasting every time the source data changes, which is slow and error-prone on large tables.</t>
  </si>
  <si>
    <t>Task 5: Dynamic transposed range (auto-extends with source data)</t>
  </si>
  <si>
    <t>A named range "MonthlySales_Dyn" was defined as =$B$6:INDEX($B$6:$B$1000,COUNT($B$6:$B$1000)) — it always ends at the last numeric entry, so adding a 13th month of data below row 17 extends the range automatically. The TRANSPOSE formula below references that named range.</t>
  </si>
  <si>
    <t>Using COUNTBLANK, COUNT &amp; COUNTA</t>
  </si>
  <si>
    <t>Products sampled from Superstore "Orders" sheet. A few cells were intentionally cleared to demonstrate the three functions.</t>
  </si>
  <si>
    <t>Product Name</t>
  </si>
  <si>
    <t>Bush Somerset Collection Bookcase</t>
  </si>
  <si>
    <t>Hon Deluxe Fabric Upholstered Stacking Chairs</t>
  </si>
  <si>
    <t>Self-Adhesive Address Labels for Typewriters</t>
  </si>
  <si>
    <t>Bretford CR4500 Series Slim Rectangular Table</t>
  </si>
  <si>
    <t>Eldon Fold 'N Roll Cart System</t>
  </si>
  <si>
    <t>Newell 322</t>
  </si>
  <si>
    <t>Mitel 5320 IP Phone VoIP phone</t>
  </si>
  <si>
    <t>DXL Angle-View Binders with Locking Rings</t>
  </si>
  <si>
    <t>Belkin F5C206VTEL 6 Outlet Surge</t>
  </si>
  <si>
    <t>Chromcraft Rectangular Conference Tables</t>
  </si>
  <si>
    <t>Xerox 1967</t>
  </si>
  <si>
    <t>Fellowes PB200 Plastic Comb Binding Machine</t>
  </si>
  <si>
    <t>Holmes Replacement Filter for HEPA Air Cleaner</t>
  </si>
  <si>
    <t>Task 2: COUNT — numeric values in Sales column</t>
  </si>
  <si>
    <t>Task 3: COUNTA — non-blank cells in Product Name column</t>
  </si>
  <si>
    <t>Task 4: COUNTBLANK — blank cells in Sales column</t>
  </si>
  <si>
    <t>Task 5 — Comparison: COUNT only counts cells holding NUMBERS, so it ignores the two blank Sales cells and returns 13 (of 15 rows). COUNTA counts any non-blank cell regardless of type (text or number), so on the Product Name column it returns 13, correctly excluding the 2 blank names. COUNTBLANK is the mirror of COUNTA — it counts only the empty cells, returning 2 for the Sales column. COUNT + COUNTBLANK on the same range always add up to the total row count (15).</t>
  </si>
  <si>
    <t>Quick Calculations using the Status Bar</t>
  </si>
  <si>
    <t>The status bar is a live Excel UI feature (bottom-right of the window), not something a saved file can capture — so this sheet reproduces the same numbers with formulas. In real Excel: select B5:B16 and the Sum / Average / Count will appear automatically in the status bar, and right-clicking the status bar lets you also turn on Min and Max.</t>
  </si>
  <si>
    <t>Task 1/2: Sum (status bar default)</t>
  </si>
  <si>
    <t>Task 2: Average (status bar default)</t>
  </si>
  <si>
    <t>Task 2: Count (status bar default)</t>
  </si>
  <si>
    <t>Task 3: Min (optional status bar item)</t>
  </si>
  <si>
    <t>Task 3: Max (optional status bar item)</t>
  </si>
  <si>
    <t>Task 4/5 — Benefit: the status bar lets you select any range and instantly see Sum, Average and Count (plus Min/Max if enabled) without writing a single formula or disturbing the worksheet. It is the fastest way to sanity-check a total or spot-verify a formula result, and the figures above match it exactly.</t>
  </si>
  <si>
    <t>Calculating Growth Percentage YoY &amp; Using the POWER Formula</t>
  </si>
  <si>
    <t>Yearly revenue is the actual Superstore Sales total per year. The dataset spans 4 full years (2014-2017), so those 4 years are used here in place of a fixed 5-year example.</t>
  </si>
  <si>
    <t>Year</t>
  </si>
  <si>
    <t>Revenue ($)</t>
  </si>
  <si>
    <t>YoY Growth %</t>
  </si>
  <si>
    <t>n/a — base year</t>
  </si>
  <si>
    <t>Task 3: CAGR using POWER</t>
  </si>
  <si>
    <t>Task 4: Average of the individual YoY % (manual approach)</t>
  </si>
  <si>
    <t>Task 4 comparison — the simple AVERAGE of yearly YoY % gives an arithmetic mean, which can be skewed by one unusually good or bad year. CAGR (via POWER) instead finds the single steady annual growth rate that would take revenue from the first year straight to the last year — the more reliable figure for long-term trend analysis.
Task 5 — Significance: YoY growth % shows short-term momentum (is this year better or worse than last year?), while CAGR smooths out year-to-year volatility to show the underlying long-run trend, which is what investors and executives typically use to judge sustained business performance.</t>
  </si>
  <si>
    <t xml:space="preserve">Sales </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</si>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</sst>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4009]\ * #,##0.00_ ;_ [$₹-4009]\ * \-#,##0.00_ ;_ [$₹-4009]\ * &quot;-&quot;??_ ;_ @_ "/>
    <numFmt numFmtId="165" formatCode="_-[$$-409]* #,##0.00_ ;_-[$$-409]* \-#,##0.00\ ;_-[$$-409]* &quot;-&quot;??_ ;_-@_ "/>
  </numFmts>
  <fonts count="8" x14ac:knownFonts="1">
    <font>
      <sz val="11"/>
      <color theme="1"/>
      <name val="Calibri"/>
      <family val="2"/>
      <charset val="1"/>
    </font>
    <font>
      <sz val="10"/>
      <name val="Arial"/>
      <family val="2"/>
    </font>
    <font>
      <b/>
      <sz val="14"/>
      <color rgb="FFFFFFFF"/>
      <name val="Arial"/>
      <family val="2"/>
    </font>
    <font>
      <i/>
      <sz val="10"/>
      <color rgb="FF595959"/>
      <name val="Arial"/>
      <family val="2"/>
    </font>
    <font>
      <b/>
      <sz val="11"/>
      <color rgb="FFFFFFFF"/>
      <name val="Arial"/>
      <family val="2"/>
    </font>
    <font>
      <sz val="11"/>
      <name val="Arial"/>
      <family val="2"/>
    </font>
    <font>
      <b/>
      <sz val="11"/>
      <name val="Arial"/>
      <family val="2"/>
    </font>
    <font>
      <b/>
      <sz val="11"/>
      <color rgb="FFFFFFFF"/>
      <name val="Arial"/>
      <family val="2"/>
    </font>
  </fonts>
  <fills count="5">
    <fill>
      <patternFill patternType="none"/>
    </fill>
    <fill>
      <patternFill patternType="gray125"/>
    </fill>
    <fill>
      <patternFill patternType="solid">
        <fgColor rgb="FF2F5597"/>
        <bgColor rgb="FF4472C4"/>
      </patternFill>
    </fill>
    <fill>
      <patternFill patternType="solid">
        <fgColor rgb="FF4472C4"/>
        <bgColor rgb="FF2F5597"/>
      </patternFill>
    </fill>
    <fill>
      <patternFill patternType="solid">
        <fgColor rgb="FF92D050"/>
        <bgColor rgb="FFFFFFFF"/>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Border="0" applyAlignment="0" applyProtection="0"/>
  </cellStyleXfs>
  <cellXfs count="23">
    <xf numFmtId="0" fontId="0" fillId="0" borderId="0" xfId="0"/>
    <xf numFmtId="0" fontId="4" fillId="3" borderId="1" xfId="0" applyFont="1" applyFill="1" applyBorder="1" applyAlignment="1">
      <alignment horizontal="center" vertical="center"/>
    </xf>
    <xf numFmtId="0" fontId="5" fillId="0" borderId="1" xfId="0" applyFont="1" applyBorder="1"/>
    <xf numFmtId="0" fontId="6" fillId="0" borderId="1" xfId="0" applyFont="1" applyBorder="1"/>
    <xf numFmtId="0" fontId="6" fillId="0" borderId="0" xfId="0" applyFont="1"/>
    <xf numFmtId="1" fontId="5" fillId="0" borderId="1" xfId="0" applyNumberFormat="1" applyFont="1" applyBorder="1"/>
    <xf numFmtId="0" fontId="3" fillId="0" borderId="1" xfId="0" applyFont="1" applyBorder="1"/>
    <xf numFmtId="10" fontId="5" fillId="0" borderId="1" xfId="0" applyNumberFormat="1" applyFont="1" applyBorder="1"/>
    <xf numFmtId="0" fontId="7" fillId="3" borderId="1" xfId="0" applyFont="1" applyFill="1" applyBorder="1" applyAlignment="1">
      <alignment horizontal="center" vertical="center"/>
    </xf>
    <xf numFmtId="44" fontId="1" fillId="0" borderId="0" xfId="1"/>
    <xf numFmtId="165" fontId="5" fillId="0" borderId="1" xfId="0" applyNumberFormat="1" applyFont="1" applyBorder="1"/>
    <xf numFmtId="165" fontId="0" fillId="0" borderId="0" xfId="0" applyNumberFormat="1"/>
    <xf numFmtId="164" fontId="0" fillId="0" borderId="0" xfId="0" applyNumberFormat="1"/>
    <xf numFmtId="165" fontId="1" fillId="0" borderId="1" xfId="1" applyNumberFormat="1" applyBorder="1"/>
    <xf numFmtId="165" fontId="1" fillId="0" borderId="1" xfId="1" applyNumberFormat="1" applyBorder="1" applyAlignment="1"/>
    <xf numFmtId="165" fontId="4" fillId="3" borderId="1" xfId="0" applyNumberFormat="1" applyFont="1" applyFill="1" applyBorder="1" applyAlignment="1">
      <alignment horizontal="center" vertical="center"/>
    </xf>
    <xf numFmtId="165" fontId="7" fillId="3" borderId="1" xfId="0" applyNumberFormat="1" applyFont="1" applyFill="1" applyBorder="1" applyAlignment="1">
      <alignment horizontal="center" vertical="center"/>
    </xf>
    <xf numFmtId="0" fontId="2" fillId="2" borderId="2" xfId="0" applyFont="1" applyFill="1" applyBorder="1" applyAlignment="1">
      <alignment horizontal="left" vertical="center" indent="1"/>
    </xf>
    <xf numFmtId="0" fontId="7" fillId="2" borderId="2" xfId="0" applyFont="1" applyFill="1" applyBorder="1" applyAlignment="1">
      <alignment horizontal="left" vertical="center" indent="1"/>
    </xf>
    <xf numFmtId="0" fontId="2" fillId="2" borderId="0" xfId="0" applyFont="1" applyFill="1" applyBorder="1" applyAlignment="1">
      <alignment horizontal="left" vertical="center" indent="1"/>
    </xf>
    <xf numFmtId="0" fontId="5" fillId="0" borderId="0" xfId="0" applyFont="1" applyBorder="1"/>
    <xf numFmtId="0" fontId="3" fillId="4" borderId="0" xfId="0" applyFont="1" applyFill="1" applyBorder="1" applyAlignment="1">
      <alignment horizontal="left" vertical="top" wrapText="1"/>
    </xf>
    <xf numFmtId="0" fontId="7" fillId="2" borderId="2" xfId="0" applyFont="1" applyFill="1" applyBorder="1" applyAlignment="1">
      <alignment horizontal="left" vertical="center" wrapText="1" indent="1"/>
    </xf>
  </cellXfs>
  <cellStyles count="2">
    <cellStyle name="Currency" xfId="1" builtin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zoomScaleNormal="100" workbookViewId="0">
      <selection activeCell="C15" sqref="C15"/>
    </sheetView>
  </sheetViews>
  <sheetFormatPr defaultColWidth="8.7109375" defaultRowHeight="15" x14ac:dyDescent="0.25"/>
  <cols>
    <col min="1" max="1" width="44.42578125" bestFit="1" customWidth="1"/>
    <col min="2" max="2" width="16" customWidth="1"/>
    <col min="3" max="3" width="54.7109375" customWidth="1"/>
  </cols>
  <sheetData>
    <row r="1" spans="1:3" ht="25.5" customHeight="1" x14ac:dyDescent="0.25">
      <c r="A1" s="17" t="s">
        <v>0</v>
      </c>
      <c r="B1" s="17"/>
      <c r="C1" s="17"/>
    </row>
    <row r="2" spans="1:3" ht="23.85" customHeight="1" x14ac:dyDescent="0.25">
      <c r="A2" s="18" t="s">
        <v>1</v>
      </c>
      <c r="B2" s="18"/>
      <c r="C2" s="18"/>
    </row>
    <row r="4" spans="1:3" x14ac:dyDescent="0.25">
      <c r="A4" s="1" t="s">
        <v>2</v>
      </c>
      <c r="B4" s="8" t="s">
        <v>67</v>
      </c>
    </row>
    <row r="5" spans="1:3" x14ac:dyDescent="0.25">
      <c r="A5" s="2" t="s">
        <v>3</v>
      </c>
      <c r="B5" s="10">
        <v>43971.37</v>
      </c>
    </row>
    <row r="6" spans="1:3" x14ac:dyDescent="0.25">
      <c r="A6" s="2" t="s">
        <v>4</v>
      </c>
      <c r="B6" s="10">
        <v>20301.13</v>
      </c>
    </row>
    <row r="7" spans="1:3" x14ac:dyDescent="0.25">
      <c r="A7" s="2" t="s">
        <v>5</v>
      </c>
      <c r="B7" s="10">
        <v>58872.35</v>
      </c>
    </row>
    <row r="8" spans="1:3" x14ac:dyDescent="0.25">
      <c r="A8" s="2" t="s">
        <v>6</v>
      </c>
      <c r="B8" s="10">
        <v>36521.54</v>
      </c>
    </row>
    <row r="9" spans="1:3" x14ac:dyDescent="0.25">
      <c r="A9" s="2" t="s">
        <v>7</v>
      </c>
      <c r="B9" s="10">
        <v>44261.11</v>
      </c>
    </row>
    <row r="10" spans="1:3" x14ac:dyDescent="0.25">
      <c r="A10" s="2" t="s">
        <v>8</v>
      </c>
      <c r="B10" s="10">
        <v>52981.73</v>
      </c>
    </row>
    <row r="11" spans="1:3" x14ac:dyDescent="0.25">
      <c r="A11" s="2" t="s">
        <v>9</v>
      </c>
      <c r="B11" s="10">
        <v>45264.42</v>
      </c>
    </row>
    <row r="12" spans="1:3" x14ac:dyDescent="0.25">
      <c r="A12" s="2" t="s">
        <v>10</v>
      </c>
      <c r="B12" s="10">
        <v>63120.89</v>
      </c>
    </row>
    <row r="13" spans="1:3" x14ac:dyDescent="0.25">
      <c r="A13" s="2" t="s">
        <v>11</v>
      </c>
      <c r="B13" s="10">
        <v>87866.65</v>
      </c>
    </row>
    <row r="14" spans="1:3" x14ac:dyDescent="0.25">
      <c r="A14" s="2" t="s">
        <v>12</v>
      </c>
      <c r="B14" s="10">
        <v>77776.92</v>
      </c>
    </row>
    <row r="15" spans="1:3" x14ac:dyDescent="0.25">
      <c r="A15" s="2" t="s">
        <v>13</v>
      </c>
      <c r="B15" s="10">
        <v>118447.83</v>
      </c>
      <c r="C15" s="12"/>
    </row>
    <row r="16" spans="1:3" x14ac:dyDescent="0.25">
      <c r="A16" s="2" t="s">
        <v>14</v>
      </c>
      <c r="B16" s="10">
        <v>83829.320000000007</v>
      </c>
    </row>
    <row r="17" spans="1:3" x14ac:dyDescent="0.25">
      <c r="B17" s="11"/>
    </row>
    <row r="18" spans="1:3" x14ac:dyDescent="0.25">
      <c r="A18" s="3" t="s">
        <v>15</v>
      </c>
      <c r="B18" s="10">
        <f>SUM(B5:B16)</f>
        <v>733215.26</v>
      </c>
      <c r="C18" s="2"/>
    </row>
    <row r="19" spans="1:3" x14ac:dyDescent="0.25">
      <c r="A19" s="3" t="s">
        <v>16</v>
      </c>
      <c r="B19" s="10">
        <f>MAX(B5:B16)</f>
        <v>118447.83</v>
      </c>
      <c r="C19" s="2" t="str">
        <f>INDEX(A5:A16,MATCH(B19,B5:B16,0))</f>
        <v>November</v>
      </c>
    </row>
    <row r="20" spans="1:3" x14ac:dyDescent="0.25">
      <c r="A20" s="3" t="s">
        <v>17</v>
      </c>
      <c r="B20" s="10">
        <f>MIN(B5:B16)</f>
        <v>20301.13</v>
      </c>
      <c r="C20" s="2" t="str">
        <f>INDEX(A5:A16,MATCH(B20,B5:B16,0))</f>
        <v>February</v>
      </c>
    </row>
    <row r="21" spans="1:3" x14ac:dyDescent="0.25">
      <c r="A21" s="3" t="s">
        <v>18</v>
      </c>
      <c r="B21" s="10">
        <f>SMALL(B5:B16,2)</f>
        <v>36521.54</v>
      </c>
      <c r="C21" s="2" t="str">
        <f>INDEX(A5:A16,MATCH(B21,B5:B16,0))</f>
        <v>April</v>
      </c>
    </row>
    <row r="22" spans="1:3" x14ac:dyDescent="0.25">
      <c r="A22" s="3" t="s">
        <v>19</v>
      </c>
      <c r="B22" s="10">
        <f>LARGE(B5:B16,3)</f>
        <v>83829.320000000007</v>
      </c>
      <c r="C22" s="2" t="str">
        <f>INDEX(A5:A16,MATCH(B22,B5:B16,0))</f>
        <v>December</v>
      </c>
    </row>
    <row r="23" spans="1:3" x14ac:dyDescent="0.25">
      <c r="A23" s="3" t="s">
        <v>20</v>
      </c>
      <c r="B23" s="10">
        <f>MEDIAN(B5:B16)</f>
        <v>55927.040000000001</v>
      </c>
      <c r="C23" s="2"/>
    </row>
  </sheetData>
  <mergeCells count="2">
    <mergeCell ref="A1:C1"/>
    <mergeCell ref="A2:C2"/>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9"/>
  <sheetViews>
    <sheetView topLeftCell="A19" zoomScaleNormal="100" workbookViewId="0">
      <selection activeCell="C45" sqref="C45"/>
    </sheetView>
  </sheetViews>
  <sheetFormatPr defaultColWidth="8.7109375" defaultRowHeight="15" x14ac:dyDescent="0.25"/>
  <cols>
    <col min="1" max="2" width="16" customWidth="1"/>
    <col min="3" max="3" width="18.28515625" customWidth="1"/>
    <col min="4" max="14" width="16" customWidth="1"/>
  </cols>
  <sheetData>
    <row r="1" spans="1:14" ht="25.5" customHeight="1" x14ac:dyDescent="0.25">
      <c r="A1" s="19" t="s">
        <v>21</v>
      </c>
      <c r="B1" s="19"/>
      <c r="C1" s="19"/>
      <c r="D1" s="19"/>
      <c r="E1" s="19"/>
      <c r="F1" s="19"/>
      <c r="G1" s="19"/>
      <c r="H1" s="19"/>
      <c r="I1" s="19"/>
      <c r="J1" s="19"/>
      <c r="K1" s="19"/>
      <c r="L1" s="19"/>
      <c r="M1" s="19"/>
      <c r="N1" s="19"/>
    </row>
    <row r="2" spans="1:14" ht="70.5" customHeight="1" x14ac:dyDescent="0.25">
      <c r="A2" s="22" t="s">
        <v>22</v>
      </c>
      <c r="B2" s="22"/>
      <c r="C2" s="22"/>
      <c r="D2" s="18"/>
      <c r="E2" s="18"/>
      <c r="F2" s="18"/>
      <c r="G2" s="18"/>
      <c r="H2" s="18"/>
      <c r="I2" s="18"/>
      <c r="J2" s="18"/>
      <c r="K2" s="18"/>
      <c r="L2" s="18"/>
      <c r="M2" s="18"/>
      <c r="N2" s="18"/>
    </row>
    <row r="4" spans="1:14" ht="15" customHeight="1" x14ac:dyDescent="0.25">
      <c r="A4" s="4" t="s">
        <v>23</v>
      </c>
    </row>
    <row r="5" spans="1:14" x14ac:dyDescent="0.25">
      <c r="A5" s="1" t="s">
        <v>2</v>
      </c>
      <c r="B5" s="8" t="s">
        <v>67</v>
      </c>
    </row>
    <row r="6" spans="1:14" x14ac:dyDescent="0.25">
      <c r="A6" s="2" t="s">
        <v>3</v>
      </c>
      <c r="B6" s="14">
        <v>43971.37</v>
      </c>
    </row>
    <row r="7" spans="1:14" x14ac:dyDescent="0.25">
      <c r="A7" s="2" t="s">
        <v>4</v>
      </c>
      <c r="B7" s="13">
        <v>20301.13</v>
      </c>
    </row>
    <row r="8" spans="1:14" x14ac:dyDescent="0.25">
      <c r="A8" s="2" t="s">
        <v>5</v>
      </c>
      <c r="B8" s="13">
        <v>58872.35</v>
      </c>
    </row>
    <row r="9" spans="1:14" x14ac:dyDescent="0.25">
      <c r="A9" s="2" t="s">
        <v>6</v>
      </c>
      <c r="B9" s="13">
        <v>36521.54</v>
      </c>
    </row>
    <row r="10" spans="1:14" x14ac:dyDescent="0.25">
      <c r="A10" s="2" t="s">
        <v>7</v>
      </c>
      <c r="B10" s="13">
        <v>44261.11</v>
      </c>
    </row>
    <row r="11" spans="1:14" x14ac:dyDescent="0.25">
      <c r="A11" s="2" t="s">
        <v>8</v>
      </c>
      <c r="B11" s="13">
        <v>52981.73</v>
      </c>
    </row>
    <row r="12" spans="1:14" x14ac:dyDescent="0.25">
      <c r="A12" s="2" t="s">
        <v>9</v>
      </c>
      <c r="B12" s="13">
        <v>45264.42</v>
      </c>
    </row>
    <row r="13" spans="1:14" x14ac:dyDescent="0.25">
      <c r="A13" s="2" t="s">
        <v>10</v>
      </c>
      <c r="B13" s="13">
        <v>63120.89</v>
      </c>
    </row>
    <row r="14" spans="1:14" x14ac:dyDescent="0.25">
      <c r="A14" s="2" t="s">
        <v>11</v>
      </c>
      <c r="B14" s="13">
        <v>87866.65</v>
      </c>
    </row>
    <row r="15" spans="1:14" x14ac:dyDescent="0.25">
      <c r="A15" s="2" t="s">
        <v>12</v>
      </c>
      <c r="B15" s="13">
        <v>77776.92</v>
      </c>
    </row>
    <row r="16" spans="1:14" x14ac:dyDescent="0.25">
      <c r="A16" s="2" t="s">
        <v>13</v>
      </c>
      <c r="B16" s="13">
        <v>118447.83</v>
      </c>
    </row>
    <row r="17" spans="1:14" x14ac:dyDescent="0.25">
      <c r="A17" s="2" t="s">
        <v>14</v>
      </c>
      <c r="B17" s="13">
        <v>83829.320000000007</v>
      </c>
    </row>
    <row r="20" spans="1:14" x14ac:dyDescent="0.25">
      <c r="A20" s="4" t="s">
        <v>24</v>
      </c>
    </row>
    <row r="21" spans="1:14" x14ac:dyDescent="0.25">
      <c r="A21" s="1" t="s">
        <v>3</v>
      </c>
      <c r="B21" s="1" t="s">
        <v>4</v>
      </c>
      <c r="C21" s="1" t="s">
        <v>5</v>
      </c>
      <c r="D21" s="1" t="s">
        <v>6</v>
      </c>
      <c r="E21" s="1" t="s">
        <v>7</v>
      </c>
      <c r="F21" s="1" t="s">
        <v>8</v>
      </c>
      <c r="G21" s="1" t="s">
        <v>9</v>
      </c>
      <c r="H21" s="1" t="s">
        <v>10</v>
      </c>
      <c r="I21" s="1" t="s">
        <v>11</v>
      </c>
      <c r="J21" s="1" t="s">
        <v>12</v>
      </c>
      <c r="K21" s="1" t="s">
        <v>13</v>
      </c>
      <c r="L21" s="1" t="s">
        <v>14</v>
      </c>
    </row>
    <row r="22" spans="1:14" x14ac:dyDescent="0.25">
      <c r="A22" s="10">
        <v>43971.37</v>
      </c>
      <c r="B22" s="10">
        <v>20301.13</v>
      </c>
      <c r="C22" s="10">
        <v>58872.35</v>
      </c>
      <c r="D22" s="10">
        <v>36521.54</v>
      </c>
      <c r="E22" s="10">
        <v>44261.11</v>
      </c>
      <c r="F22" s="10">
        <v>52981.73</v>
      </c>
      <c r="G22" s="10">
        <v>45264.42</v>
      </c>
      <c r="H22" s="10">
        <v>63120.89</v>
      </c>
      <c r="I22" s="10">
        <v>87866.65</v>
      </c>
      <c r="J22" s="10">
        <v>77776.92</v>
      </c>
      <c r="K22" s="10">
        <v>118447.83</v>
      </c>
      <c r="L22" s="10">
        <v>83829.320000000007</v>
      </c>
    </row>
    <row r="24" spans="1:14" x14ac:dyDescent="0.25">
      <c r="A24" s="4" t="s">
        <v>25</v>
      </c>
    </row>
    <row r="25" spans="1:14" x14ac:dyDescent="0.25">
      <c r="A25" s="1" t="str">
        <f t="array" ref="A25:L25">TRANSPOSE(A6:A17)</f>
        <v>January</v>
      </c>
      <c r="B25" s="1" t="str">
        <v>February</v>
      </c>
      <c r="C25" s="1" t="str">
        <v>March</v>
      </c>
      <c r="D25" s="1" t="str">
        <v>April</v>
      </c>
      <c r="E25" s="1" t="str">
        <v>May</v>
      </c>
      <c r="F25" s="1" t="str">
        <v>June</v>
      </c>
      <c r="G25" s="1" t="str">
        <v>July</v>
      </c>
      <c r="H25" s="1" t="str">
        <v>August</v>
      </c>
      <c r="I25" s="1" t="str">
        <v>September</v>
      </c>
      <c r="J25" s="1" t="str">
        <v>October</v>
      </c>
      <c r="K25" s="1" t="str">
        <v>November</v>
      </c>
      <c r="L25" s="1" t="str">
        <v>December</v>
      </c>
    </row>
    <row r="26" spans="1:14" x14ac:dyDescent="0.25">
      <c r="A26" s="13">
        <f t="array" ref="A26:L26">TRANSPOSE(B6:B17)</f>
        <v>43971.37</v>
      </c>
      <c r="B26" s="13">
        <v>20301.13</v>
      </c>
      <c r="C26" s="13">
        <v>58872.35</v>
      </c>
      <c r="D26" s="13">
        <v>36521.54</v>
      </c>
      <c r="E26" s="13">
        <v>44261.11</v>
      </c>
      <c r="F26" s="13">
        <v>52981.73</v>
      </c>
      <c r="G26" s="13">
        <v>45264.42</v>
      </c>
      <c r="H26" s="13">
        <v>63120.89</v>
      </c>
      <c r="I26" s="13">
        <v>87866.65</v>
      </c>
      <c r="J26" s="13">
        <v>77776.92</v>
      </c>
      <c r="K26" s="13">
        <v>118447.83</v>
      </c>
      <c r="L26" s="13">
        <v>83829.320000000007</v>
      </c>
    </row>
    <row r="28" spans="1:14" x14ac:dyDescent="0.25">
      <c r="A28" s="4" t="s">
        <v>26</v>
      </c>
    </row>
    <row r="29" spans="1:14" x14ac:dyDescent="0.25">
      <c r="A29" s="20" t="str">
        <f>IF(SUMPRODUCT(--(A22:L22=A26:L26))=12,"MATCH - all 12 values are identical","MISMATCH - check values")</f>
        <v>MATCH - all 12 values are identical</v>
      </c>
      <c r="B29" s="20"/>
      <c r="C29" s="20"/>
      <c r="D29" s="20"/>
      <c r="E29" s="20"/>
      <c r="F29" s="20"/>
    </row>
    <row r="31" spans="1:14" ht="15" customHeight="1" x14ac:dyDescent="0.25">
      <c r="A31" s="21" t="s">
        <v>27</v>
      </c>
      <c r="B31" s="21"/>
      <c r="C31" s="21"/>
      <c r="D31" s="21"/>
      <c r="E31" s="21"/>
      <c r="F31" s="21"/>
      <c r="G31" s="21"/>
      <c r="H31" s="21"/>
      <c r="I31" s="21"/>
      <c r="J31" s="21"/>
      <c r="K31" s="21"/>
      <c r="L31" s="21"/>
      <c r="M31" s="21"/>
      <c r="N31" s="21"/>
    </row>
    <row r="32" spans="1:14" x14ac:dyDescent="0.25">
      <c r="A32" s="21"/>
      <c r="B32" s="21"/>
      <c r="C32" s="21"/>
      <c r="D32" s="21"/>
      <c r="E32" s="21"/>
      <c r="F32" s="21"/>
      <c r="G32" s="21"/>
      <c r="H32" s="21"/>
      <c r="I32" s="21"/>
      <c r="J32" s="21"/>
      <c r="K32" s="21"/>
      <c r="L32" s="21"/>
      <c r="M32" s="21"/>
      <c r="N32" s="21"/>
    </row>
    <row r="33" spans="1:14" x14ac:dyDescent="0.25">
      <c r="A33" s="21"/>
      <c r="B33" s="21"/>
      <c r="C33" s="21"/>
      <c r="D33" s="21"/>
      <c r="E33" s="21"/>
      <c r="F33" s="21"/>
      <c r="G33" s="21"/>
      <c r="H33" s="21"/>
      <c r="I33" s="21"/>
      <c r="J33" s="21"/>
      <c r="K33" s="21"/>
      <c r="L33" s="21"/>
      <c r="M33" s="21"/>
      <c r="N33" s="21"/>
    </row>
    <row r="35" spans="1:14" x14ac:dyDescent="0.25">
      <c r="A35" s="4" t="s">
        <v>28</v>
      </c>
    </row>
    <row r="36" spans="1:14" ht="15" customHeight="1" x14ac:dyDescent="0.25">
      <c r="A36" s="21" t="s">
        <v>29</v>
      </c>
      <c r="B36" s="21"/>
      <c r="C36" s="21"/>
      <c r="D36" s="21"/>
      <c r="E36" s="21"/>
      <c r="F36" s="21"/>
      <c r="G36" s="21"/>
      <c r="H36" s="21"/>
      <c r="I36" s="21"/>
      <c r="J36" s="21"/>
      <c r="K36" s="21"/>
      <c r="L36" s="21"/>
      <c r="M36" s="21"/>
      <c r="N36" s="21"/>
    </row>
    <row r="37" spans="1:14" x14ac:dyDescent="0.25">
      <c r="A37" s="21"/>
      <c r="B37" s="21"/>
      <c r="C37" s="21"/>
      <c r="D37" s="21"/>
      <c r="E37" s="21"/>
      <c r="F37" s="21"/>
      <c r="G37" s="21"/>
      <c r="H37" s="21"/>
      <c r="I37" s="21"/>
      <c r="J37" s="21"/>
      <c r="K37" s="21"/>
      <c r="L37" s="21"/>
      <c r="M37" s="21"/>
      <c r="N37" s="21"/>
    </row>
    <row r="39" spans="1:14" x14ac:dyDescent="0.25">
      <c r="A39" s="13">
        <f t="array" aca="1" ref="A39:L39" ca="1">TRANSPOSE(MonthlySales_Dyn)</f>
        <v>43971.37</v>
      </c>
      <c r="B39" s="13">
        <f ca="1"/>
        <v>20301.13</v>
      </c>
      <c r="C39" s="13">
        <f ca="1"/>
        <v>58872.35</v>
      </c>
      <c r="D39" s="13">
        <f ca="1"/>
        <v>36521.54</v>
      </c>
      <c r="E39" s="13">
        <f ca="1"/>
        <v>44261.11</v>
      </c>
      <c r="F39" s="13">
        <f ca="1"/>
        <v>52981.73</v>
      </c>
      <c r="G39" s="13">
        <f ca="1"/>
        <v>45264.42</v>
      </c>
      <c r="H39" s="13">
        <f ca="1"/>
        <v>63120.89</v>
      </c>
      <c r="I39" s="13">
        <f ca="1"/>
        <v>87866.65</v>
      </c>
      <c r="J39" s="13">
        <f ca="1"/>
        <v>77776.92</v>
      </c>
      <c r="K39" s="13">
        <f ca="1"/>
        <v>118447.83</v>
      </c>
      <c r="L39" s="13">
        <f ca="1"/>
        <v>83829.320000000007</v>
      </c>
    </row>
  </sheetData>
  <mergeCells count="9">
    <mergeCell ref="A1:N1"/>
    <mergeCell ref="A29:F29"/>
    <mergeCell ref="A31:N33"/>
    <mergeCell ref="A36:N37"/>
    <mergeCell ref="A2:C2"/>
    <mergeCell ref="D2:F2"/>
    <mergeCell ref="G2:I2"/>
    <mergeCell ref="J2:L2"/>
    <mergeCell ref="M2:N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9"/>
  <sheetViews>
    <sheetView zoomScaleNormal="100" workbookViewId="0">
      <selection activeCell="E19" sqref="E19"/>
    </sheetView>
  </sheetViews>
  <sheetFormatPr defaultColWidth="8.7109375" defaultRowHeight="15" x14ac:dyDescent="0.25"/>
  <cols>
    <col min="1" max="1" width="45" customWidth="1"/>
    <col min="2" max="2" width="16" customWidth="1"/>
  </cols>
  <sheetData>
    <row r="1" spans="1:2" ht="25.5" customHeight="1" x14ac:dyDescent="0.25">
      <c r="A1" s="19" t="s">
        <v>30</v>
      </c>
      <c r="B1" s="19"/>
    </row>
    <row r="2" spans="1:2" ht="52.5" customHeight="1" x14ac:dyDescent="0.25">
      <c r="A2" s="22" t="s">
        <v>31</v>
      </c>
      <c r="B2" s="22"/>
    </row>
    <row r="4" spans="1:2" x14ac:dyDescent="0.25">
      <c r="A4" s="1" t="s">
        <v>32</v>
      </c>
      <c r="B4" s="8" t="s">
        <v>68</v>
      </c>
    </row>
    <row r="5" spans="1:2" x14ac:dyDescent="0.25">
      <c r="A5" s="2" t="s">
        <v>33</v>
      </c>
      <c r="B5" s="13">
        <v>261.95999999999998</v>
      </c>
    </row>
    <row r="6" spans="1:2" x14ac:dyDescent="0.25">
      <c r="A6" s="2" t="s">
        <v>34</v>
      </c>
      <c r="B6" s="13">
        <v>731.94</v>
      </c>
    </row>
    <row r="7" spans="1:2" x14ac:dyDescent="0.25">
      <c r="A7" s="2" t="s">
        <v>35</v>
      </c>
      <c r="B7" s="13"/>
    </row>
    <row r="8" spans="1:2" x14ac:dyDescent="0.25">
      <c r="A8" s="2" t="s">
        <v>36</v>
      </c>
      <c r="B8" s="13">
        <v>957.58</v>
      </c>
    </row>
    <row r="9" spans="1:2" x14ac:dyDescent="0.25">
      <c r="A9" s="2" t="s">
        <v>37</v>
      </c>
      <c r="B9" s="13">
        <v>22.37</v>
      </c>
    </row>
    <row r="10" spans="1:2" x14ac:dyDescent="0.25">
      <c r="A10" s="2"/>
      <c r="B10" s="13">
        <v>48.86</v>
      </c>
    </row>
    <row r="11" spans="1:2" x14ac:dyDescent="0.25">
      <c r="A11" s="2" t="s">
        <v>38</v>
      </c>
      <c r="B11" s="13">
        <v>7.28</v>
      </c>
    </row>
    <row r="12" spans="1:2" x14ac:dyDescent="0.25">
      <c r="A12" s="2" t="s">
        <v>39</v>
      </c>
      <c r="B12" s="13">
        <v>907.15</v>
      </c>
    </row>
    <row r="13" spans="1:2" x14ac:dyDescent="0.25">
      <c r="A13" s="2" t="s">
        <v>40</v>
      </c>
      <c r="B13" s="13"/>
    </row>
    <row r="14" spans="1:2" x14ac:dyDescent="0.25">
      <c r="A14" s="2" t="s">
        <v>41</v>
      </c>
      <c r="B14" s="13">
        <v>114.9</v>
      </c>
    </row>
    <row r="15" spans="1:2" x14ac:dyDescent="0.25">
      <c r="A15" s="2" t="s">
        <v>42</v>
      </c>
      <c r="B15" s="13">
        <v>1706.18</v>
      </c>
    </row>
    <row r="16" spans="1:2" x14ac:dyDescent="0.25">
      <c r="A16" s="2"/>
      <c r="B16" s="13">
        <v>911.42</v>
      </c>
    </row>
    <row r="17" spans="1:2" x14ac:dyDescent="0.25">
      <c r="A17" s="2" t="s">
        <v>43</v>
      </c>
      <c r="B17" s="13">
        <v>15.55</v>
      </c>
    </row>
    <row r="18" spans="1:2" x14ac:dyDescent="0.25">
      <c r="A18" s="2" t="s">
        <v>44</v>
      </c>
      <c r="B18" s="13">
        <v>407.98</v>
      </c>
    </row>
    <row r="19" spans="1:2" x14ac:dyDescent="0.25">
      <c r="A19" s="2" t="s">
        <v>45</v>
      </c>
      <c r="B19" s="13">
        <v>68.81</v>
      </c>
    </row>
    <row r="21" spans="1:2" x14ac:dyDescent="0.25">
      <c r="A21" s="3" t="s">
        <v>46</v>
      </c>
      <c r="B21" s="2">
        <f>COUNT(B5:B19)</f>
        <v>13</v>
      </c>
    </row>
    <row r="22" spans="1:2" x14ac:dyDescent="0.25">
      <c r="A22" s="3" t="s">
        <v>47</v>
      </c>
      <c r="B22" s="2">
        <f>COUNTA(A5:A19)</f>
        <v>13</v>
      </c>
    </row>
    <row r="23" spans="1:2" x14ac:dyDescent="0.25">
      <c r="A23" s="3" t="s">
        <v>48</v>
      </c>
      <c r="B23" s="2">
        <f>COUNTBLANK(B5:B19)</f>
        <v>2</v>
      </c>
    </row>
    <row r="25" spans="1:2" ht="15" customHeight="1" x14ac:dyDescent="0.25">
      <c r="A25" s="21" t="s">
        <v>49</v>
      </c>
      <c r="B25" s="21"/>
    </row>
    <row r="26" spans="1:2" x14ac:dyDescent="0.25">
      <c r="A26" s="21"/>
      <c r="B26" s="21"/>
    </row>
    <row r="27" spans="1:2" x14ac:dyDescent="0.25">
      <c r="A27" s="21"/>
      <c r="B27" s="21"/>
    </row>
    <row r="28" spans="1:2" x14ac:dyDescent="0.25">
      <c r="A28" s="21"/>
      <c r="B28" s="21"/>
    </row>
    <row r="29" spans="1:2" x14ac:dyDescent="0.25">
      <c r="A29" s="21"/>
      <c r="B29" s="21"/>
    </row>
  </sheetData>
  <mergeCells count="3">
    <mergeCell ref="A1:B1"/>
    <mergeCell ref="A2:B2"/>
    <mergeCell ref="A25:B2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8"/>
  <sheetViews>
    <sheetView tabSelected="1" zoomScaleNormal="100" workbookViewId="0">
      <selection activeCell="B11" sqref="B11"/>
    </sheetView>
  </sheetViews>
  <sheetFormatPr defaultColWidth="8.7109375" defaultRowHeight="15" x14ac:dyDescent="0.25"/>
  <cols>
    <col min="1" max="1" width="30" customWidth="1"/>
    <col min="2" max="2" width="18" customWidth="1"/>
  </cols>
  <sheetData>
    <row r="1" spans="1:2" ht="25.5" customHeight="1" x14ac:dyDescent="0.25">
      <c r="A1" s="19" t="s">
        <v>50</v>
      </c>
      <c r="B1" s="19"/>
    </row>
    <row r="2" spans="1:2" ht="15" customHeight="1" x14ac:dyDescent="0.25">
      <c r="A2" s="21" t="s">
        <v>51</v>
      </c>
      <c r="B2" s="21"/>
    </row>
    <row r="3" spans="1:2" ht="85.5" customHeight="1" x14ac:dyDescent="0.25">
      <c r="A3" s="21"/>
      <c r="B3" s="21"/>
    </row>
    <row r="5" spans="1:2" x14ac:dyDescent="0.25">
      <c r="A5" s="1" t="s">
        <v>2</v>
      </c>
      <c r="B5" s="8" t="s">
        <v>67</v>
      </c>
    </row>
    <row r="6" spans="1:2" x14ac:dyDescent="0.25">
      <c r="A6" s="2" t="s">
        <v>3</v>
      </c>
      <c r="B6" s="13">
        <v>43971.37</v>
      </c>
    </row>
    <row r="7" spans="1:2" x14ac:dyDescent="0.25">
      <c r="A7" s="2" t="s">
        <v>4</v>
      </c>
      <c r="B7" s="13">
        <v>20301.13</v>
      </c>
    </row>
    <row r="8" spans="1:2" x14ac:dyDescent="0.25">
      <c r="A8" s="2" t="s">
        <v>5</v>
      </c>
      <c r="B8" s="13">
        <v>58872.35</v>
      </c>
    </row>
    <row r="9" spans="1:2" x14ac:dyDescent="0.25">
      <c r="A9" s="2" t="s">
        <v>6</v>
      </c>
      <c r="B9" s="13">
        <v>36521.54</v>
      </c>
    </row>
    <row r="10" spans="1:2" x14ac:dyDescent="0.25">
      <c r="A10" s="2" t="s">
        <v>7</v>
      </c>
      <c r="B10" s="13">
        <v>44261.11</v>
      </c>
    </row>
    <row r="11" spans="1:2" x14ac:dyDescent="0.25">
      <c r="A11" s="2" t="s">
        <v>8</v>
      </c>
      <c r="B11" s="13">
        <v>52981.73</v>
      </c>
    </row>
    <row r="12" spans="1:2" x14ac:dyDescent="0.25">
      <c r="A12" s="2" t="s">
        <v>9</v>
      </c>
      <c r="B12" s="13">
        <v>45264.42</v>
      </c>
    </row>
    <row r="13" spans="1:2" x14ac:dyDescent="0.25">
      <c r="A13" s="2" t="s">
        <v>10</v>
      </c>
      <c r="B13" s="13">
        <v>63120.89</v>
      </c>
    </row>
    <row r="14" spans="1:2" x14ac:dyDescent="0.25">
      <c r="A14" s="2" t="s">
        <v>11</v>
      </c>
      <c r="B14" s="13">
        <v>87866.65</v>
      </c>
    </row>
    <row r="15" spans="1:2" x14ac:dyDescent="0.25">
      <c r="A15" s="2" t="s">
        <v>12</v>
      </c>
      <c r="B15" s="13">
        <v>77776.92</v>
      </c>
    </row>
    <row r="16" spans="1:2" x14ac:dyDescent="0.25">
      <c r="A16" s="2" t="s">
        <v>13</v>
      </c>
      <c r="B16" s="13">
        <v>118447.83</v>
      </c>
    </row>
    <row r="17" spans="1:2" x14ac:dyDescent="0.25">
      <c r="A17" s="2" t="s">
        <v>14</v>
      </c>
      <c r="B17" s="13">
        <v>83829.320000000007</v>
      </c>
    </row>
    <row r="18" spans="1:2" x14ac:dyDescent="0.25">
      <c r="B18" s="9"/>
    </row>
    <row r="19" spans="1:2" x14ac:dyDescent="0.25">
      <c r="A19" s="3" t="s">
        <v>52</v>
      </c>
      <c r="B19" s="13">
        <f>SUM(B6:B17)</f>
        <v>733215.26</v>
      </c>
    </row>
    <row r="20" spans="1:2" x14ac:dyDescent="0.25">
      <c r="A20" s="3" t="s">
        <v>53</v>
      </c>
      <c r="B20" s="13">
        <f>AVERAGE(B6:B17)</f>
        <v>61101.271666666667</v>
      </c>
    </row>
    <row r="21" spans="1:2" x14ac:dyDescent="0.25">
      <c r="A21" s="3" t="s">
        <v>54</v>
      </c>
      <c r="B21" s="5">
        <f>COUNT(B6:B17)</f>
        <v>12</v>
      </c>
    </row>
    <row r="22" spans="1:2" x14ac:dyDescent="0.25">
      <c r="A22" s="3" t="s">
        <v>55</v>
      </c>
      <c r="B22" s="13">
        <f>MIN(B6:B17)</f>
        <v>20301.13</v>
      </c>
    </row>
    <row r="23" spans="1:2" x14ac:dyDescent="0.25">
      <c r="A23" s="3" t="s">
        <v>56</v>
      </c>
      <c r="B23" s="13">
        <f>MAX(B6:B17)</f>
        <v>118447.83</v>
      </c>
    </row>
    <row r="25" spans="1:2" ht="15" customHeight="1" x14ac:dyDescent="0.25">
      <c r="A25" s="21" t="s">
        <v>57</v>
      </c>
      <c r="B25" s="21"/>
    </row>
    <row r="26" spans="1:2" x14ac:dyDescent="0.25">
      <c r="A26" s="21"/>
      <c r="B26" s="21"/>
    </row>
    <row r="27" spans="1:2" x14ac:dyDescent="0.25">
      <c r="A27" s="21"/>
      <c r="B27" s="21"/>
    </row>
    <row r="28" spans="1:2" ht="36.75" customHeight="1" x14ac:dyDescent="0.25">
      <c r="A28" s="21"/>
      <c r="B28" s="21"/>
    </row>
  </sheetData>
  <mergeCells count="3">
    <mergeCell ref="A1:B1"/>
    <mergeCell ref="A2:B3"/>
    <mergeCell ref="A25:B2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7"/>
  <sheetViews>
    <sheetView zoomScaleNormal="100" workbookViewId="0">
      <selection activeCell="J26" sqref="J26"/>
    </sheetView>
  </sheetViews>
  <sheetFormatPr defaultColWidth="8.7109375" defaultRowHeight="15" x14ac:dyDescent="0.25"/>
  <cols>
    <col min="1" max="1" width="14" customWidth="1"/>
    <col min="2" max="3" width="18" customWidth="1"/>
  </cols>
  <sheetData>
    <row r="1" spans="1:3" ht="25.5" customHeight="1" x14ac:dyDescent="0.25">
      <c r="A1" s="19" t="s">
        <v>58</v>
      </c>
      <c r="B1" s="19"/>
      <c r="C1" s="19"/>
    </row>
    <row r="2" spans="1:3" ht="67.5" customHeight="1" x14ac:dyDescent="0.25">
      <c r="A2" s="21" t="s">
        <v>59</v>
      </c>
      <c r="B2" s="21"/>
      <c r="C2" s="21"/>
    </row>
    <row r="4" spans="1:3" x14ac:dyDescent="0.25">
      <c r="A4" s="1" t="s">
        <v>60</v>
      </c>
      <c r="B4" s="1" t="s">
        <v>61</v>
      </c>
      <c r="C4" s="1" t="s">
        <v>62</v>
      </c>
    </row>
    <row r="5" spans="1:3" x14ac:dyDescent="0.25">
      <c r="A5" s="2">
        <v>2014</v>
      </c>
      <c r="B5" s="13">
        <v>484247.5</v>
      </c>
      <c r="C5" s="6" t="s">
        <v>63</v>
      </c>
    </row>
    <row r="6" spans="1:3" x14ac:dyDescent="0.25">
      <c r="A6" s="2">
        <v>2015</v>
      </c>
      <c r="B6" s="13">
        <v>470532.51</v>
      </c>
      <c r="C6" s="7">
        <f>(B6-B5)/B5</f>
        <v>-2.8322273217724389E-2</v>
      </c>
    </row>
    <row r="7" spans="1:3" x14ac:dyDescent="0.25">
      <c r="A7" s="2">
        <v>2016</v>
      </c>
      <c r="B7" s="13">
        <v>609205.6</v>
      </c>
      <c r="C7" s="7">
        <f>(B7-B6)/B6</f>
        <v>0.29471521532061612</v>
      </c>
    </row>
    <row r="8" spans="1:3" x14ac:dyDescent="0.25">
      <c r="A8" s="2">
        <v>2017</v>
      </c>
      <c r="B8" s="13">
        <v>733215.26</v>
      </c>
      <c r="C8" s="7">
        <f>(B8-B7)/B7</f>
        <v>0.20355961928124108</v>
      </c>
    </row>
    <row r="10" spans="1:3" x14ac:dyDescent="0.25">
      <c r="A10" s="3" t="s">
        <v>64</v>
      </c>
      <c r="B10" s="7">
        <f>POWER(B8/B5,1/(4-1))-1</f>
        <v>0.14829824906310174</v>
      </c>
    </row>
    <row r="11" spans="1:3" x14ac:dyDescent="0.25">
      <c r="A11" s="3" t="s">
        <v>65</v>
      </c>
      <c r="B11" s="7">
        <f>AVERAGE(C6:C8)</f>
        <v>0.15665085379471091</v>
      </c>
    </row>
    <row r="13" spans="1:3" ht="15" customHeight="1" x14ac:dyDescent="0.25">
      <c r="A13" s="21" t="s">
        <v>66</v>
      </c>
      <c r="B13" s="21"/>
      <c r="C13" s="21"/>
    </row>
    <row r="14" spans="1:3" x14ac:dyDescent="0.25">
      <c r="A14" s="21"/>
      <c r="B14" s="21"/>
      <c r="C14" s="21"/>
    </row>
    <row r="15" spans="1:3" x14ac:dyDescent="0.25">
      <c r="A15" s="21"/>
      <c r="B15" s="21"/>
      <c r="C15" s="21"/>
    </row>
    <row r="16" spans="1:3" x14ac:dyDescent="0.25">
      <c r="A16" s="21"/>
      <c r="B16" s="21"/>
      <c r="C16" s="21"/>
    </row>
    <row r="17" spans="1:3" x14ac:dyDescent="0.25">
      <c r="A17" s="21"/>
      <c r="B17" s="21"/>
      <c r="C17" s="21"/>
    </row>
  </sheetData>
  <mergeCells count="3">
    <mergeCell ref="A1:C1"/>
    <mergeCell ref="A2:C2"/>
    <mergeCell ref="A13:C1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2C2E8-AEA9-4952-B630-ED49C5DD96EF}">
  <dimension ref="B1:N2"/>
  <sheetViews>
    <sheetView workbookViewId="0"/>
  </sheetViews>
  <sheetFormatPr defaultRowHeight="15" x14ac:dyDescent="0.25"/>
  <cols>
    <col min="1" max="2" width="9.140625" style="11"/>
    <col min="3" max="12" width="13.140625" style="11" bestFit="1" customWidth="1"/>
    <col min="13" max="13" width="14.85546875" style="11" bestFit="1" customWidth="1"/>
    <col min="14" max="14" width="13.140625" style="11" bestFit="1" customWidth="1"/>
    <col min="15" max="16384" width="9.140625" style="11"/>
  </cols>
  <sheetData>
    <row r="1" spans="2:14" x14ac:dyDescent="0.25">
      <c r="B1" s="15"/>
      <c r="C1" s="10"/>
      <c r="D1" s="10"/>
      <c r="E1" s="10"/>
      <c r="F1" s="10"/>
      <c r="G1" s="10"/>
      <c r="H1" s="10"/>
      <c r="I1" s="10"/>
      <c r="J1" s="10"/>
      <c r="K1" s="10"/>
      <c r="L1" s="10"/>
      <c r="M1" s="10"/>
      <c r="N1" s="10"/>
    </row>
    <row r="2" spans="2:14" x14ac:dyDescent="0.25">
      <c r="B2" s="16"/>
      <c r="C2" s="10"/>
      <c r="D2" s="10"/>
      <c r="E2" s="10"/>
      <c r="F2" s="10"/>
      <c r="G2" s="10"/>
      <c r="H2" s="10"/>
      <c r="I2" s="10"/>
      <c r="J2" s="10"/>
      <c r="K2" s="10"/>
      <c r="L2" s="10"/>
      <c r="M2" s="10"/>
      <c r="N2"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1.1 SUM-MAX-MIN-SMALL-LARGE</vt:lpstr>
      <vt:lpstr>1.2 Transpose</vt:lpstr>
      <vt:lpstr>1.3 COUNT-COUNTA-COUNTBLANK</vt:lpstr>
      <vt:lpstr>1.4 Status Bar</vt:lpstr>
      <vt:lpstr>1.5 Growth-YoY-POWER</vt:lpstr>
      <vt:lpstr>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2026-09-22T15:56:49Z</dcterms:created>
  <dcterms:modified xsi:type="dcterms:W3CDTF">2026-09-22T16:46:03Z</dcterms:modified>
  <dc:language>en-US</dc:language>
</cp:coreProperties>
</file>